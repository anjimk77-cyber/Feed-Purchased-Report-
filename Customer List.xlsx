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9D87E238-4750-4493-8FB2-4CCFEF77B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1" i="1" l="1"/>
  <c r="L390" i="1"/>
  <c r="L389" i="1"/>
  <c r="L388" i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<sst xmlns="http://schemas.openxmlformats.org/spreadsheetml/2006/main" count="2739" uniqueCount="1004">
  <si>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</si>
  <si>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</si>
  <si>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</si>
  <si>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</si>
  <si>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</si>
  <si>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</si>
  <si>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</si>
  <si>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</si>
  <si>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</si>
  <si>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</si>
  <si>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</si>
  <si>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</si>
  <si>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</si>
  <si>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</si>
  <si>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</si>
  <si>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</si>
  <si>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</si>
  <si>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</si>
  <si>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</si>
  <si>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</si>
  <si>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</si>
  <si>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</si>
  <si>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</si>
  <si>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</si>
  <si>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</si>
  <si>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</si>
  <si>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</si>
  <si>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</si>
  <si>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</si>
  <si>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</si>
  <si>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</si>
  <si>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</si>
  <si>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</si>
  <si>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</si>
  <si>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</si>
  <si>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</si>
  <si>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</si>
  <si>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</si>
  <si>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</si>
  <si>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</si>
  <si>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</si>
  <si>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</si>
  <si>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</si>
  <si>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</si>
  <si>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</si>
  <si>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</si>
  <si>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</si>
  <si>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</si>
  <si>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</si>
  <si>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</si>
  <si>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</si>
  <si>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</si>
  <si>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</si>
  <si>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</si>
  <si>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</si>
  <si>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</si>
  <si>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</si>
  <si>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</si>
  <si>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</si>
  <si>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</si>
  <si>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</si>
  <si>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</si>
  <si>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</si>
  <si>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</si>
  <si>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</si>
  <si>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</si>
  <si>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</si>
  <si>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</si>
  <si>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</si>
  <si>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</si>
  <si>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</si>
  <si>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</si>
  <si>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</si>
  <si>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</si>
  <si>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</si>
  <si>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</si>
  <si>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</si>
  <si>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</si>
  <si>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</si>
  <si>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</si>
  <si>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</si>
  <si>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</si>
  <si>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</si>
  <si>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</si>
  <si>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</si>
  <si>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</si>
  <si>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</si>
  <si>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</si>
  <si>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</si>
  <si>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</si>
  <si>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</si>
  <si>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</si>
  <si>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</si>
  <si>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</si>
  <si>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</si>
  <si>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</si>
  <si>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</si>
  <si>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</si>
  <si>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</si>
  <si>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</si>
  <si>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</si>
  <si>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</si>
  <si>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</si>
  <si>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</si>
  <si>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</si>
  <si>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</si>
  <si>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</si>
  <si>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</si>
  <si>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</si>
  <si>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</si>
  <si>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</si>
  <si>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</si>
  <si>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</si>
  <si>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</si>
  <si>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</si>
  <si>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</si>
  <si>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</si>
  <si>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</si>
  <si>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</si>
  <si>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</si>
  <si>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</si>
  <si>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</si>
  <si>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</si>
  <si>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</si>
  <si>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</si>
  <si>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</si>
  <si>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</si>
  <si>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</si>
  <si>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</si>
  <si>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</si>
  <si>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</si>
  <si>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</si>
  <si>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</si>
  <si>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</si>
  <si>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</si>
  <si>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</si>
  <si>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</si>
  <si>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</si>
  <si>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</si>
  <si>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</si>
  <si>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</si>
  <si>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</si>
  <si>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</si>
  <si>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</si>
  <si>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</si>
  <si>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</si>
  <si>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</si>
  <si>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</si>
  <si>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</si>
  <si>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</si>
  <si>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</si>
  <si>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</si>
  <si>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</si>
  <si>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</si>
  <si>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</si>
  <si>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</si>
  <si>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</si>
  <si>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</si>
  <si>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</si>
  <si>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</si>
  <si>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</si>
  <si>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</si>
  <si>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</si>
  <si>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</si>
  <si>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</si>
  <si>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</si>
  <si>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</si>
  <si>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</si>
  <si>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</si>
  <si>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</si>
  <si>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</si>
  <si>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</si>
  <si>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</si>
  <si>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</si>
  <si>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</si>
  <si>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</si>
  <si>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</si>
  <si>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</si>
  <si>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</si>
  <si>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</si>
  <si>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</si>
  <si>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</si>
  <si>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</si>
  <si>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</si>
  <si>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</si>
  <si>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</si>
  <si>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</si>
  <si>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</si>
  <si>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</si>
  <si>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</si>
  <si>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</si>
  <si>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</si>
  <si>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</si>
  <si>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</si>
  <si>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</si>
  <si>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</si>
  <si>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</si>
  <si>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</si>
  <si>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</si>
  <si>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</si>
  <si>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</si>
  <si>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</si>
  <si>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</si>
  <si>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</si>
  <si>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</si>
  <si>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</si>
  <si>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</si>
  <si>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</si>
  <si>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</si>
  <si>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</si>
  <si>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</si>
  <si>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</si>
  <si>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</si>
  <si>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</si>
  <si>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</si>
  <si>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</si>
  <si>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</si>
  <si>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</si>
  <si>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</si>
  <si>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</si>
  <si>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</si>
  <si>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</si>
  <si>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</si>
  <si>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</si>
  <si>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</si>
  <si>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</si>
  <si>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</si>
  <si>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</si>
  <si>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</si>
  <si>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</si>
  <si>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</si>
  <si>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</si>
  <si>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</si>
  <si>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</si>
  <si>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</si>
  <si>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</si>
  <si>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</si>
  <si>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</si>
  <si>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</si>
  <si>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</si>
  <si>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</si>
  <si>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</si>
  <si>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</si>
  <si>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</si>
  <si>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</si>
  <si>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</si>
  <si>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</si>
  <si>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</si>
  <si>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</si>
  <si>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</si>
  <si>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</si>
  <si>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</si>
  <si>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</si>
  <si>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</si>
  <si>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</si>
  <si>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</si>
  <si>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</si>
  <si>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</si>
  <si>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</si>
  <si>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</si>
  <si>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</si>
  <si>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</si>
  <si>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</si>
  <si>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</si>
  <si>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</si>
  <si>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</si>
  <si>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</si>
  <si>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</si>
  <si>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</si>
  <si>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</si>
  <si>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</si>
  <si>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</si>
  <si>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</si>
  <si>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</si>
  <si>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</si>
  <si>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</si>
  <si>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</si>
  <si>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</si>
  <si>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</si>
  <si>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</si>
  <si>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</si>
  <si>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</si>
  <si>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</si>
  <si>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</si>
  <si>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</si>
  <si>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</si>
  <si>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</si>
  <si>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</si>
  <si>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</si>
  <si>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</si>
  <si>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</si>
  <si>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</si>
  <si>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</si>
  <si>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</si>
  <si>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</si>
  <si>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</si>
  <si>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</si>
  <si>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</si>
  <si>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</si>
  <si>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</si>
  <si>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</si>
  <si>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</si>
  <si>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</si>
  <si>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</si>
  <si>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</si>
  <si>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</si>
  <si>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</si>
  <si>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</si>
  <si>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</si>
  <si>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</si>
  <si>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</si>
  <si>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</si>
  <si>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</si>
  <si>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</si>
  <si>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</si>
  <si>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</si>
  <si>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</si>
  <si>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</si>
  <si>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</si>
  <si>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</si>
  <si>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</si>
  <si>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</si>
  <si>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</si>
  <si>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</si>
  <si>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</si>
  <si>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</si>
  <si>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</si>
  <si>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</si>
  <si>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</si>
  <si>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</si>
  <si>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</si>
  <si>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</si>
  <si>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</si>
  <si>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</si>
  <si>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</si>
  <si>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</si>
  <si>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</si>
  <si>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</si>
  <si>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</si>
  <si>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</si>
  <si>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</si>
  <si>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</si>
  <si>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</si>
  <si>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</si>
  <si>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</si>
  <si>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</si>
  <si>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</si>
  <si>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</si>
  <si>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</si>
  <si>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</si>
  <si>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</si>
  <si>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</si>
  <si>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</si>
  <si>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</si>
  <si>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</si>
  <si>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</si>
  <si>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</si>
  <si>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</si>
  <si>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</si>
  <si>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</si>
  <si>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</si>
  <si>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</si>
  <si>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</si>
  <si>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</si>
  <si>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</si>
  <si>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</si>
  <si>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</si>
  <si>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</si>
  <si>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</si>
  <si>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</si>
  <si>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</si>
  <si>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</si>
  <si>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</si>
  <si>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</si>
  <si>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</si>
  <si>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</si>
  <si>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</si>
  <si>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</si>
  <si>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</si>
  <si>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</si>
  <si>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</si>
  <si>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</si>
  <si>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</si>
  <si>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</si>
  <si>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</si>
  <si>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</si>
  <si>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</si>
  <si>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</si>
  <si>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</si>
  <si>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</si>
  <si>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</si>
  <si>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</si>
  <si>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</si>
  <si>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</si>
  <si>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</si>
  <si>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</si>
  <si>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</si>
  <si>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</si>
  <si>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</si>
  <si>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</si>
  <si>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</si>
  <si>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</si>
  <si>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</si>
  <si>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</si>
  <si>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</si>
  <si>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</si>
  <si>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</si>
  <si>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</si>
  <si>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</si>
  <si>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</si>
  <si>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</si>
  <si>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</si>
  <si>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</si>
  <si>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</si>
  <si>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</si>
  <si>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</si>
  <si>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</si>
  <si>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</si>
  <si>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</si>
  <si>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</si>
  <si>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</si>
  <si>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</si>
  <si>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</si>
  <si>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</si>
  <si>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</si>
  <si>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</si>
  <si>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</si>
  <si>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</si>
  <si>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</si>
  <si>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</si>
  <si>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</si>
  <si>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</si>
  <si>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</si>
  <si>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</si>
  <si>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</si>
  <si>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</si>
  <si>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</si>
  <si>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</si>
  <si>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</si>
  <si>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</si>
  <si>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</si>
  <si>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</si>
  <si>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</si>
  <si>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</si>
  <si>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</si>
  <si>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</si>
  <si>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</si>
  <si>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</si>
  <si>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</si>
  <si>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</si>
  <si>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</si>
  <si>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</si>
  <si>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</si>
  <si>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</si>
  <si>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</si>
  <si>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</si>
  <si>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</si>
  <si>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</si>
  <si>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</si>
  <si>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</si>
  <si>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</si>
  <si>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</si>
  <si>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</si>
  <si>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</si>
  <si>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</si>
  <si>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</si>
  <si>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</si>
  <si>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</si>
  <si>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</si>
  <si>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</si>
  <si>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</si>
  <si>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</si>
  <si>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</si>
  <si>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</si>
  <si>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</si>
  <si>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</si>
  <si>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</si>
  <si>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</si>
  <si>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</si>
  <si>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</si>
  <si>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</si>
  <si>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</si>
  <si>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</si>
  <si>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</si>
  <si>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</si>
  <si>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</si>
  <si>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</si>
  <si>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</si>
  <si>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</si>
  <si>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</si>
  <si>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</si>
  <si>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</si>
  <si>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</si>
  <si>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</si>
  <si>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</si>
  <si>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</si>
  <si>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</si>
  <si>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</si>
  <si>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</si>
  <si>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</si>
  <si>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</si>
  <si>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</si>
  <si>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</si>
  <si>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</si>
  <si>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</si>
  <si>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</si>
  <si>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</si>
  <si>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</si>
  <si>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</si>
  <si>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</si>
  <si>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</si>
  <si>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</si>
  <si>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</si>
  <si>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</si>
  <si>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</si>
  <si>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</si>
  <si>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</si>
  <si>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</si>
  <si>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</si>
  <si>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</si>
  <si>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</si>
  <si>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</si>
  <si>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</si>
  <si>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</si>
  <si>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</si>
  <si>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</si>
  <si>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</si>
  <si>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</si>
  <si>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</si>
  <si>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</si>
  <si>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</si>
  <si>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</si>
  <si>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</si>
  <si>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</si>
  <si>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</si>
  <si>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</si>
  <si>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</si>
  <si>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</si>
  <si>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</si>
  <si>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</si>
  <si>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</si>
  <si>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</si>
  <si>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</si>
  <si>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</si>
  <si>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</si>
  <si>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</si>
  <si>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</si>
  <si>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</si>
  <si>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</si>
  <si>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</si>
  <si>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</si>
  <si>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</si>
  <si>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</si>
  <si>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</si>
  <si>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</si>
  <si>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</si>
  <si>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</si>
  <si>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</si>
  <si>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</si>
  <si>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</si>
  <si>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</si>
  <si>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</si>
  <si>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</si>
  <si>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</si>
  <si>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</si>
  <si>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</si>
  <si>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</si>
  <si>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</si>
  <si>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</si>
  <si>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</si>
  <si>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</si>
  <si>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</si>
  <si>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</si>
  <si>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</si>
  <si>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</si>
  <si>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</si>
  <si>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</si>
  <si>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</si>
  <si>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</si>
  <si>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</si>
  <si>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</si>
  <si>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</si>
  <si>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</si>
  <si>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</si>
  <si>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</si>
  <si>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</si>
  <si>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</si>
  <si>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</si>
  <si>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</si>
  <si>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</si>
  <si>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</si>
  <si>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</si>
  <si>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</si>
  <si>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</si>
  <si>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</si>
  <si>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</si>
  <si>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</si>
  <si>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</si>
  <si>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</si>
  <si>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</si>
  <si>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</si>
  <si>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</si>
  <si>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</si>
  <si>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</si>
  <si>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</si>
  <si>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</si>
  <si>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</si>
  <si>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</si>
  <si>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</si>
  <si>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</si>
  <si>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</si>
  <si>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</si>
  <si>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</si>
  <si>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</si>
  <si>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</si>
  <si>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</si>
  <si>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</si>
  <si>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</si>
  <si>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</si>
  <si>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</si>
  <si>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</si>
  <si>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</si>
  <si>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</si>
  <si>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</si>
  <si>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</si>
  <si>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</si>
  <si>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</si>
  <si>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</si>
  <si>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</si>
  <si>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</si>
  <si>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</si>
  <si>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</si>
  <si>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</si>
  <si>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</si>
  <si>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</si>
  <si>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</si>
  <si>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</si>
  <si>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</si>
  <si>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</si>
  <si>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</si>
  <si>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</si>
  <si>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</si>
  <si>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</si>
  <si>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</si>
  <si>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</si>
  <si>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</si>
  <si>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</si>
  <si>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</si>
  <si>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</si>
  <si>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</si>
  <si>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</si>
  <si>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</si>
  <si>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</si>
  <si>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</si>
  <si>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</si>
  <si>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</si>
  <si>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</si>
  <si>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</si>
  <si>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</si>
  <si>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</si>
  <si>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</si>
  <si>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</si>
  <si>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</si>
  <si>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</si>
  <si>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</si>
  <si>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</si>
  <si>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</si>
  <si>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</si>
  <si>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</si>
  <si>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</si>
  <si>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</si>
  <si>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</si>
  <si>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</si>
  <si>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</si>
  <si>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</si>
  <si>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</si>
  <si>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</si>
  <si>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</si>
  <si>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</si>
  <si>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</si>
  <si>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</si>
  <si>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</si>
  <si>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</si>
  <si>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</si>
  <si>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</si>
  <si>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</si>
  <si>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</si>
  <si>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</si>
  <si>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</si>
  <si>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</si>
  <si>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</si>
  <si>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</si>
  <si>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</si>
  <si>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</si>
  <si>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</si>
  <si>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</si>
  <si>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</si>
  <si>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</si>
  <si>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</si>
  <si>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</si>
  <si>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</si>
  <si>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</si>
  <si>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</si>
  <si>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</si>
  <si>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</si>
  <si>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</si>
  <si>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</si>
  <si>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</si>
  <si>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</si>
  <si>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</si>
  <si>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</si>
  <si>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</si>
  <si>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</si>
  <si>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</si>
  <si>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</si>
  <si>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</si>
  <si>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</si>
  <si>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</si>
  <si>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</si>
  <si>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</si>
  <si>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</si>
  <si>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</si>
  <si>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</si>
  <si>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</si>
  <si>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</si>
  <si>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</si>
  <si>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</si>
  <si>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</si>
  <si>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</si>
  <si>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</si>
  <si>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</si>
  <si>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</si>
  <si>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</si>
  <si>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</si>
  <si>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</si>
  <si>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</si>
  <si>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</si>
  <si>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</si>
  <si>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</si>
  <si>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</si>
  <si>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</si>
  <si>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</si>
  <si>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</si>
  <si>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</si>
  <si>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</si>
  <si>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</si>
  <si>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</si>
  <si>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</si>
  <si>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</si>
  <si>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</si>
  <si>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</si>
  <si>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</si>
  <si>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</si>
  <si>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</si>
  <si>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</si>
  <si>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</si>
  <si>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</si>
  <si>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</si>
  <si>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</si>
  <si>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</si>
  <si>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</si>
  <si>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</si>
  <si>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</si>
  <si>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</si>
  <si>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</si>
  <si>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</si>
  <si>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</si>
  <si>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</si>
  <si>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</si>
  <si>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</si>
  <si>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</si>
  <si>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</si>
  <si>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</si>
  <si>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</si>
  <si>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</si>
  <si>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</si>
  <si>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</si>
  <si>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</si>
  <si>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</si>
  <si>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</si>
  <si>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</si>
  <si>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</si>
  <si>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</si>
  <si>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</si>
  <si>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</si>
  <si>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</si>
  <si>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</si>
  <si>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</si>
  <si>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</si>
  <si>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</si>
  <si>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</si>
  <si>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</si>
  <si>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</si>
  <si>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</si>
  <si>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</si>
  <si>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</si>
  <si>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</si>
  <si>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</si>
  <si>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</si>
  <si>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</si>
  <si>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</si>
  <si>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</si>
  <si>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</si>
  <si>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</si>
  <si>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</si>
  <si>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</si>
  <si>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</si>
  <si>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</si>
  <si>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</si>
  <si>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</si>
  <si>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</si>
  <si>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</si>
  <si>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</si>
  <si>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</si>
  <si>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</si>
  <si>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</si>
  <si>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</si>
  <si>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</si>
  <si>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</si>
  <si>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</si>
  <si>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</si>
  <si>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</si>
  <si>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</si>
  <si>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</si>
  <si>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</si>
  <si>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</si>
  <si>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</si>
  <si>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</si>
  <si>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</si>
  <si>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</si>
  <si>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</si>
  <si>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</si>
  <si>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</si>
  <si>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</si>
  <si>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</si>
  <si>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</si>
  <si>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</si>
  <si>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</si>
  <si>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</si>
  <si>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</si>
  <si>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</si>
  <si>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</si>
  <si>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</si>
  <si>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</si>
  <si>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</si>
  <si>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</si>
  <si>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</si>
  <si>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</si>
  <si>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</si>
  <si>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</si>
  <si>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</si>
  <si>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</si>
  <si>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</si>
  <si>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</si>
  <si>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</si>
  <si>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</si>
  <si>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</si>
  <si>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</si>
  <si>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</si>
  <si>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</si>
  <si>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</si>
  <si>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</si>
  <si>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</si>
  <si>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</si>
  <si>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</si>
  <si>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</si>
  <si>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</si>
  <si>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</si>
  <si>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</si>
  <si>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</si>
  <si>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</si>
  <si>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</si>
  <si>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</si>
  <si>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</si>
  <si>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</si>
  <si>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</si>
  <si>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</si>
  <si>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</si>
  <si>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</si>
  <si>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</si>
  <si>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</si>
  <si>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</si>
  <si>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</si>
  <si>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</si>
  <si>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</si>
  <si>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</si>
  <si>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</si>
  <si>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</si>
  <si>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</si>
  <si>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</si>
  <si>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</si>
  <si>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</si>
  <si>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</si>
  <si>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</si>
  <si>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</si>
  <si>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</si>
  <si>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</si>
  <si>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</si>
  <si>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</si>
  <si>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</si>
  <si>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</si>
  <si>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</si>
  <si>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</si>
  <si>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</si>
  <si>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</si>
  <si>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</si>
  <si>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</si>
  <si>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</si>
  <si>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</si>
  <si>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</si>
  <si>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</si>
  <si>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</si>
  <si>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</si>
  <si>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</si>
  <si>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</si>
  <si>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</si>
  <si>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</si>
  <si>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</si>
  <si>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</si>
  <si>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</si>
  <si>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</si>
  <si>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</si>
  <si>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</si>
  <si>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</si>
  <si>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</si>
  <si>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</si>
  <si>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</si>
  <si>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</si>
  <si>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</si>
  <si>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</si>
  <si>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</si>
  <si>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</si>
  <si>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</si>
  <si>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</si>
  <si>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</si>
  <si>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</si>
  <si>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</si>
  <si>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</si>
  <si>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</si>
  <si>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</si>
  <si>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</si>
  <si>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</si>
  <si>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</si>
  <si>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</si>
  <si>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</si>
  <si>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</si>
  <si>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</si>
  <si>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</si>
  <si>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</si>
  <si>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</si>
  <si>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</si>
  <si>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</si>
  <si>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</si>
  <si>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</si>
  <si>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</si>
  <si>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</si>
  <si>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</si>
  <si>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</si>
  <si>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</si>
  <si>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</si>
  <si>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</si>
  <si>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</si>
  <si>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</si>
  <si>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</si>
  <si>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</si>
  <si>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</si>
  <si>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</si>
  <si>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</si>
  <si>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</si>
  <si>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</si>
  <si>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</si>
  <si>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</si>
  <si>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</si>
  <si>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</si>
  <si>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</si>
  <si>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</si>
  <si>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</si>
  <si>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</si>
  <si>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</si>
  <si>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</si>
  <si>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</si>
  <si>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</si>
  <si>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</si>
  <si>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</si>
  <si>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</si>
  <si>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</si>
  <si>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</si>
  <si>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</si>
  <si>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</si>
  <si>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</si>
  <si>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</si>
  <si>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</si>
  <si>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</si>
  <si>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</si>
  <si>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</si>
  <si>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</si>
  <si>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</si>
  <si>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</si>
  <si>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</si>
  <si>
    <t>C00635</t>
  </si>
  <si>
    <t>W.Sujan Benadict Fernando</t>
  </si>
  <si>
    <t>C00430</t>
  </si>
  <si>
    <t>Ark Lanka (Pvt) Ltd</t>
  </si>
  <si>
    <t>Noordeen.M.Ameen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</si>
</sst>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91" totalsRowShown="0" headerRowDxfId="13" dataDxfId="12">
  <autoFilter ref="A1:L391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1"/>
  <sheetViews>
    <sheetView tabSelected="1" topLeftCell="A365" workbookViewId="0">
      <selection activeCell="H390" sqref="H390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973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815</v>
      </c>
      <c r="C6" s="1" t="s">
        <v>816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903</v>
      </c>
      <c r="C8" s="1" t="s">
        <v>904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903</v>
      </c>
      <c r="C9" s="1" t="s">
        <v>906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903</v>
      </c>
      <c r="C10" s="1" t="s">
        <v>907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859</v>
      </c>
      <c r="C11" s="1" t="s">
        <v>860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785</v>
      </c>
      <c r="C15" s="1" t="s">
        <v>786</v>
      </c>
      <c r="D15" s="1" t="s">
        <v>638</v>
      </c>
      <c r="E15" s="1" t="s">
        <v>955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785</v>
      </c>
      <c r="C16" s="1" t="s">
        <v>912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841</v>
      </c>
      <c r="C25" s="1" t="s">
        <v>842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823</v>
      </c>
      <c r="C28" s="1" t="s">
        <v>824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823</v>
      </c>
      <c r="C29" s="1" t="s">
        <v>825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823</v>
      </c>
      <c r="C30" s="1" t="s">
        <v>826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823</v>
      </c>
      <c r="C31" s="1" t="s">
        <v>827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823</v>
      </c>
      <c r="C32" s="1" t="s">
        <v>828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823</v>
      </c>
      <c r="C33" s="1" t="s">
        <v>829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957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949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965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941</v>
      </c>
      <c r="C40" s="1" t="s">
        <v>942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953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952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962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975</v>
      </c>
      <c r="C59" s="1" t="s">
        <v>974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920</v>
      </c>
      <c r="C65" s="1" t="s">
        <v>921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874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874</v>
      </c>
      <c r="C67" s="1" t="s">
        <v>801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762</v>
      </c>
      <c r="C68" s="1" t="s">
        <v>763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762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762</v>
      </c>
      <c r="C70" s="1" t="s">
        <v>764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793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793</v>
      </c>
      <c r="C72" s="1" t="s">
        <v>794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793</v>
      </c>
      <c r="C73" s="1" t="s">
        <v>795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905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968</v>
      </c>
      <c r="C82" s="1" t="s">
        <v>908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845</v>
      </c>
      <c r="C87" s="1" t="s">
        <v>846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845</v>
      </c>
      <c r="C88" s="1" t="s">
        <v>919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801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964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971</v>
      </c>
      <c r="B92" s="1" t="s">
        <v>80</v>
      </c>
      <c r="C92" s="1" t="s">
        <v>972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835</v>
      </c>
      <c r="C93" s="1" t="s">
        <v>836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835</v>
      </c>
      <c r="C94" s="1" t="s">
        <v>837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885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918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918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958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938</v>
      </c>
      <c r="C109" s="1" t="s">
        <v>939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866</v>
      </c>
      <c r="C113" s="1" t="s">
        <v>867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872</v>
      </c>
      <c r="C116" s="1" t="s">
        <v>775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926</v>
      </c>
      <c r="C118" s="1" t="s">
        <v>927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926</v>
      </c>
      <c r="C119" s="1" t="s">
        <v>928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892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890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883</v>
      </c>
      <c r="C139" s="1" t="s">
        <v>884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783</v>
      </c>
      <c r="C142" s="1" t="s">
        <v>775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783</v>
      </c>
      <c r="C143" s="1" t="s">
        <v>917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899</v>
      </c>
      <c r="C144" s="1" t="s">
        <v>867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922</v>
      </c>
      <c r="C148" s="1" t="s">
        <v>923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790</v>
      </c>
      <c r="C151" s="1" t="s">
        <v>791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900</v>
      </c>
      <c r="C152" s="1" t="s">
        <v>901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900</v>
      </c>
      <c r="C153" s="1" t="s">
        <v>902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900</v>
      </c>
      <c r="C154" s="1" t="s">
        <v>924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870</v>
      </c>
      <c r="C155" s="1" t="s">
        <v>792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949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910</v>
      </c>
      <c r="C159" s="1" t="s">
        <v>911</v>
      </c>
      <c r="D159" s="1" t="s">
        <v>639</v>
      </c>
      <c r="E159" s="8" t="s">
        <v>961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843</v>
      </c>
      <c r="C166" s="1" t="s">
        <v>844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843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843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843</v>
      </c>
      <c r="C169" s="1" t="s">
        <v>801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843</v>
      </c>
      <c r="C170" s="1" t="s">
        <v>871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843</v>
      </c>
      <c r="C171" s="1" t="s">
        <v>895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936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802</v>
      </c>
      <c r="C174" s="1" t="s">
        <v>803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802</v>
      </c>
      <c r="C175" s="1" t="s">
        <v>804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802</v>
      </c>
      <c r="C176" s="1" t="s">
        <v>805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802</v>
      </c>
      <c r="C177" s="1" t="s">
        <v>806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930</v>
      </c>
      <c r="C178" s="1" t="s">
        <v>931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804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819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807</v>
      </c>
      <c r="C183" s="1" t="s">
        <v>808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830</v>
      </c>
      <c r="C184" s="1" t="s">
        <v>831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969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982</v>
      </c>
      <c r="C190" s="1" t="s">
        <v>981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891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893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894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913</v>
      </c>
      <c r="C197" s="1" t="s">
        <v>914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913</v>
      </c>
      <c r="C198" s="1" t="s">
        <v>932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913</v>
      </c>
      <c r="C199" s="1" t="s">
        <v>933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979</v>
      </c>
      <c r="B201" s="1" t="s">
        <v>980</v>
      </c>
      <c r="C201" s="1"/>
      <c r="D201" s="1" t="s">
        <v>638</v>
      </c>
      <c r="E201" t="s">
        <v>962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765</v>
      </c>
      <c r="C202" s="1" t="s">
        <v>766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765</v>
      </c>
      <c r="C203" s="1" t="s">
        <v>873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966</v>
      </c>
      <c r="C204" s="1" t="s">
        <v>637</v>
      </c>
      <c r="D204" s="1" t="s">
        <v>639</v>
      </c>
      <c r="E204" s="8" t="s">
        <v>950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909</v>
      </c>
      <c r="C205" s="1" t="s">
        <v>881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937</v>
      </c>
      <c r="C206" s="1" t="s">
        <v>892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976</v>
      </c>
      <c r="B211" s="1" t="s">
        <v>977</v>
      </c>
      <c r="C211" s="1" t="s">
        <v>953</v>
      </c>
      <c r="D211" s="1" t="s">
        <v>638</v>
      </c>
      <c r="E211" s="4" t="s">
        <v>978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934</v>
      </c>
      <c r="C212" s="1" t="s">
        <v>935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868</v>
      </c>
      <c r="C219" s="1" t="s">
        <v>796</v>
      </c>
      <c r="D219" s="1" t="s">
        <v>638</v>
      </c>
      <c r="E219" t="s">
        <v>963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868</v>
      </c>
      <c r="C220" s="1" t="s">
        <v>880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877</v>
      </c>
      <c r="C223" s="1" t="s">
        <v>776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809</v>
      </c>
      <c r="C226" s="1" t="s">
        <v>810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862</v>
      </c>
      <c r="C236" s="1" t="s">
        <v>863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813</v>
      </c>
      <c r="C239" s="1" t="s">
        <v>814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949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878</v>
      </c>
      <c r="D241" s="1" t="s">
        <v>639</v>
      </c>
      <c r="E241" s="8" t="s">
        <v>959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940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857</v>
      </c>
      <c r="C255" s="1" t="s">
        <v>858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956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817</v>
      </c>
      <c r="C257" s="1" t="s">
        <v>818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915</v>
      </c>
      <c r="C262" s="1" t="s">
        <v>775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915</v>
      </c>
      <c r="C263" s="1" t="s">
        <v>916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769</v>
      </c>
      <c r="C265" s="1" t="s">
        <v>770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769</v>
      </c>
      <c r="C266" s="1" t="s">
        <v>771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769</v>
      </c>
      <c r="C267" s="1" t="s">
        <v>878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875</v>
      </c>
      <c r="C269" s="1" t="s">
        <v>876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772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772</v>
      </c>
      <c r="C271" s="1" t="s">
        <v>773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772</v>
      </c>
      <c r="C272" s="1" t="s">
        <v>774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799</v>
      </c>
      <c r="C273" s="1" t="s">
        <v>800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832</v>
      </c>
      <c r="C275" s="1" t="s">
        <v>833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832</v>
      </c>
      <c r="C276" s="1" t="s">
        <v>834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855</v>
      </c>
      <c r="C279" s="1" t="s">
        <v>856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855</v>
      </c>
      <c r="C280" s="1" t="s">
        <v>776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784</v>
      </c>
      <c r="C281" s="1" t="s">
        <v>925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811</v>
      </c>
      <c r="C282" s="1" t="s">
        <v>812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839</v>
      </c>
      <c r="C284" s="1" t="s">
        <v>840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888</v>
      </c>
      <c r="C285" s="1" t="s">
        <v>889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788</v>
      </c>
      <c r="C287" s="1" t="s">
        <v>789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838</v>
      </c>
      <c r="C293" s="1" t="s">
        <v>837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820</v>
      </c>
      <c r="C300" s="1" t="s">
        <v>821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820</v>
      </c>
      <c r="C301" s="1" t="s">
        <v>822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886</v>
      </c>
      <c r="C302" s="1" t="s">
        <v>796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886</v>
      </c>
      <c r="C303" s="1" t="s">
        <v>880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879</v>
      </c>
      <c r="C308" s="1" t="s">
        <v>880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777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777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781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970</v>
      </c>
      <c r="C314" s="1" t="s">
        <v>776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847</v>
      </c>
      <c r="C322" s="1" t="s">
        <v>775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847</v>
      </c>
      <c r="C323" s="1" t="s">
        <v>776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861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861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869</v>
      </c>
      <c r="C326" s="1" t="s">
        <v>787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880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967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898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887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950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960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848</v>
      </c>
      <c r="C341" s="1" t="s">
        <v>849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848</v>
      </c>
      <c r="C342" s="1" t="s">
        <v>850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797</v>
      </c>
      <c r="C348" s="1" t="s">
        <v>798</v>
      </c>
      <c r="D348" s="1" t="s">
        <v>638</v>
      </c>
      <c r="E348" s="1" t="s">
        <v>951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778</v>
      </c>
      <c r="C352" s="1" t="s">
        <v>779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778</v>
      </c>
      <c r="C353" s="1" t="s">
        <v>780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853</v>
      </c>
      <c r="C354" s="1" t="s">
        <v>854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767</v>
      </c>
      <c r="C357" s="1" t="s">
        <v>768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767</v>
      </c>
      <c r="C358" s="1" t="s">
        <v>676</v>
      </c>
      <c r="D358" s="1" t="s">
        <v>636</v>
      </c>
      <c r="E358" s="1" t="s">
        <v>676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Naguleliya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943</v>
      </c>
      <c r="B365" s="1" t="s">
        <v>944</v>
      </c>
      <c r="C365" s="1" t="s">
        <v>947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864</v>
      </c>
      <c r="C366" s="1" t="s">
        <v>865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864</v>
      </c>
      <c r="C367" s="1" t="s">
        <v>882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896</v>
      </c>
      <c r="C368" s="1" t="s">
        <v>897</v>
      </c>
      <c r="D368" s="1" t="s">
        <v>638</v>
      </c>
      <c r="E368" s="1" t="s">
        <v>954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878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929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945</v>
      </c>
      <c r="B376" s="1" t="s">
        <v>946</v>
      </c>
      <c r="C376" s="1" t="s">
        <v>948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761</v>
      </c>
      <c r="C378" s="1" t="s">
        <v>782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851</v>
      </c>
      <c r="C380" s="1" t="s">
        <v>852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983</v>
      </c>
      <c r="B381" s="1" t="s">
        <v>984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985</v>
      </c>
      <c r="B382" s="1" t="s">
        <v>986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987</v>
      </c>
      <c r="B383" s="1" t="s">
        <v>988</v>
      </c>
      <c r="C383" s="1"/>
      <c r="D383" s="1" t="s">
        <v>655</v>
      </c>
      <c r="E383" t="s">
        <v>991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989</v>
      </c>
      <c r="B384" s="1" t="s">
        <v>990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992</v>
      </c>
      <c r="C385" s="1"/>
      <c r="D385" s="1" t="s">
        <v>639</v>
      </c>
      <c r="F385" s="1"/>
      <c r="G385" s="1" t="s">
        <v>554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993</v>
      </c>
      <c r="B386" s="7" t="s">
        <v>967</v>
      </c>
      <c r="C386" s="1" t="s">
        <v>994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995</v>
      </c>
      <c r="B387" s="7" t="s">
        <v>996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998</v>
      </c>
      <c r="B388" s="7" t="s">
        <v>997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  <row r="389" spans="1:12" x14ac:dyDescent="0.25">
      <c r="A389" s="1" t="s">
        <v>999</v>
      </c>
      <c r="B389" s="7" t="s">
        <v>1000</v>
      </c>
      <c r="C389" s="10"/>
      <c r="D389" s="10" t="s">
        <v>636</v>
      </c>
      <c r="E389" s="10" t="s">
        <v>640</v>
      </c>
      <c r="F389" s="1"/>
      <c r="G389" s="1" t="s">
        <v>551</v>
      </c>
      <c r="H389" s="1"/>
      <c r="I389" s="1"/>
      <c r="J389" s="1"/>
      <c r="K389" s="1"/>
      <c r="L389" s="11" t="str">
        <f>CONCATENATE(A389, " - ", Table1[[#This Row],[Farm Name]])</f>
        <v xml:space="preserve">C00635 - </v>
      </c>
    </row>
    <row r="390" spans="1:12" x14ac:dyDescent="0.25">
      <c r="A390" s="1" t="s">
        <v>1001</v>
      </c>
      <c r="B390" s="7" t="s">
        <v>1002</v>
      </c>
      <c r="C390" s="10"/>
      <c r="D390" s="10" t="s">
        <v>638</v>
      </c>
      <c r="E390" s="10"/>
      <c r="F390" s="1"/>
      <c r="G390" s="1" t="s">
        <v>553</v>
      </c>
      <c r="H390" s="1"/>
      <c r="I390" s="1"/>
      <c r="J390" s="1"/>
      <c r="K390" s="1"/>
      <c r="L390" s="11" t="str">
        <f>CONCATENATE(A390, " - ", Table1[[#This Row],[Farm Name]])</f>
        <v xml:space="preserve">C00430 - </v>
      </c>
    </row>
    <row r="391" spans="1:12" x14ac:dyDescent="0.25">
      <c r="A391" s="1" t="s">
        <v>301</v>
      </c>
      <c r="B391" s="1" t="s">
        <v>1003</v>
      </c>
      <c r="C391" s="10"/>
      <c r="D391" s="10" t="s">
        <v>638</v>
      </c>
      <c r="E391" s="10" t="s">
        <v>654</v>
      </c>
      <c r="F391" s="1"/>
      <c r="G391" s="1" t="s">
        <v>553</v>
      </c>
      <c r="H391" s="1"/>
      <c r="I391" s="1"/>
      <c r="J391" s="1"/>
      <c r="K391" s="1"/>
      <c r="L391" s="11" t="str">
        <f>CONCATENATE(A391, " - ", Table1[[#This Row],[Farm Name]])</f>
        <v xml:space="preserve">C00485 -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2026-09-30T05:41:41Z</dcterms:modified>
</cp:coreProperties>
</file>